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universityofcambridgecloud-my.sharepoint.com/personal/nmb48_cam_ac_uk/Documents/Documents/GitHub/eurocontrol-data-archive/nils/"/>
    </mc:Choice>
  </mc:AlternateContent>
  <xr:revisionPtr revIDLastSave="9" documentId="8_{39B508DB-D237-4249-9A82-1BFA3E71FB0F}" xr6:coauthVersionLast="47" xr6:coauthVersionMax="47" xr10:uidLastSave="{F6BF31F4-1AE4-461F-A8BC-5A012A9BB966}"/>
  <bookViews>
    <workbookView xWindow="-110" yWindow="-110" windowWidth="19420" windowHeight="10300" xr2:uid="{80E6A51D-45AC-4AC3-824D-41944F122555}"/>
  </bookViews>
  <sheets>
    <sheet name="ATR 72-600" sheetId="1" r:id="rId1"/>
    <sheet name="A220-300" sheetId="2" r:id="rId2"/>
    <sheet name="A320 neo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" i="2" l="1"/>
  <c r="A4" i="2"/>
  <c r="A3" i="2"/>
  <c r="A2" i="2"/>
  <c r="A5" i="3"/>
  <c r="A4" i="3"/>
  <c r="A3" i="3"/>
  <c r="A2" i="3"/>
</calcChain>
</file>

<file path=xl/sharedStrings.xml><?xml version="1.0" encoding="utf-8"?>
<sst xmlns="http://schemas.openxmlformats.org/spreadsheetml/2006/main" count="6" uniqueCount="3">
  <si>
    <t>x</t>
  </si>
  <si>
    <t xml:space="preserve"> y</t>
  </si>
  <si>
    <t>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</si>
</sst>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8DA57C-55FD-4F9F-BE88-CDED6E7B6CDA}">
  <dimension ref="A1:B5"/>
  <sheetViews>
    <sheetView tabSelected="1" workbookViewId="0">
      <selection activeCell="H13" sqref="H13"/>
    </sheetView>
  </sheetViews>
  <sheetFormatPr defaultRowHeight="14.5" x14ac:dyDescent="0.35"/>
  <sheetData>
    <row r="1" spans="1:2" x14ac:dyDescent="0.35">
      <c r="A1" t="s">
        <v>0</v>
      </c>
      <c r="B1" t="s">
        <v>1</v>
      </c>
    </row>
    <row r="2" spans="1:2" x14ac:dyDescent="0.35">
      <c r="A2">
        <v>0</v>
      </c>
      <c r="B2">
        <v>77.938722484723598</v>
      </c>
    </row>
    <row r="3" spans="1:2" x14ac:dyDescent="0.35">
      <c r="A3">
        <v>1148.14819335937</v>
      </c>
      <c r="B3">
        <v>77.938722484723598</v>
      </c>
    </row>
    <row r="4" spans="1:2" x14ac:dyDescent="0.35">
      <c r="A4">
        <v>3455.5558268229101</v>
      </c>
      <c r="B4">
        <v>46.740950016125602</v>
      </c>
    </row>
    <row r="5" spans="1:2" x14ac:dyDescent="0.35">
      <c r="A5">
        <v>3714.8148600260402</v>
      </c>
      <c r="B5">
        <v>20.0928584371824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2D1139-50D2-4F15-B476-3A37FF13B071}">
  <dimension ref="A1:B5"/>
  <sheetViews>
    <sheetView workbookViewId="0">
      <selection activeCell="A6" sqref="A6"/>
    </sheetView>
  </sheetViews>
  <sheetFormatPr defaultRowHeight="14.5" x14ac:dyDescent="0.35"/>
  <sheetData>
    <row r="1" spans="1:2" x14ac:dyDescent="0.35">
      <c r="A1" t="s">
        <v>0</v>
      </c>
      <c r="B1" t="s">
        <v>2</v>
      </c>
    </row>
    <row r="2" spans="1:2" x14ac:dyDescent="0.35">
      <c r="A2">
        <f>0.159337248422758*1.852</f>
        <v>0.29509258407894784</v>
      </c>
      <c r="B2">
        <v>128.00892174370901</v>
      </c>
    </row>
    <row r="3" spans="1:2" x14ac:dyDescent="0.35">
      <c r="A3">
        <f>2146.44492328111*1.852</f>
        <v>3975.2159979166154</v>
      </c>
      <c r="B3">
        <v>128.024238679202</v>
      </c>
    </row>
    <row r="4" spans="1:2" x14ac:dyDescent="0.35">
      <c r="A4">
        <f>3213.17696200406*1.852</f>
        <v>5950.8037336315192</v>
      </c>
      <c r="B4">
        <v>118.14068279723099</v>
      </c>
    </row>
    <row r="5" spans="1:2" x14ac:dyDescent="0.35">
      <c r="A5">
        <f>3860.43056465351*1.852</f>
        <v>7149.517405738301</v>
      </c>
      <c r="B5">
        <v>94.059664089667393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3EF2AF-0B32-49B4-9ADA-B05BF59CC2F1}">
  <dimension ref="A1:B5"/>
  <sheetViews>
    <sheetView workbookViewId="0">
      <selection activeCell="A6" sqref="A6"/>
    </sheetView>
  </sheetViews>
  <sheetFormatPr defaultRowHeight="14.5" x14ac:dyDescent="0.35"/>
  <sheetData>
    <row r="1" spans="1:2" x14ac:dyDescent="0.35">
      <c r="A1" t="s">
        <v>0</v>
      </c>
      <c r="B1" t="s">
        <v>1</v>
      </c>
    </row>
    <row r="2" spans="1:2" x14ac:dyDescent="0.35">
      <c r="A2">
        <f>-2.84575981787137*1.852</f>
        <v>-5.270347182697777</v>
      </c>
      <c r="B2">
        <v>19425.6756756756</v>
      </c>
    </row>
    <row r="3" spans="1:2" x14ac:dyDescent="0.35">
      <c r="A3">
        <f>2492.88560045532*1.852</f>
        <v>4616.8241320432526</v>
      </c>
      <c r="B3">
        <v>19377.4131274131</v>
      </c>
    </row>
    <row r="4" spans="1:2" x14ac:dyDescent="0.35">
      <c r="A4">
        <f>3497.43881616391*1.852</f>
        <v>6477.2566875355615</v>
      </c>
      <c r="B4">
        <v>14502.8957528957</v>
      </c>
    </row>
    <row r="5" spans="1:2" x14ac:dyDescent="0.35">
      <c r="A5">
        <f>4393.85315879339*1.852</f>
        <v>8137.4160500853595</v>
      </c>
      <c r="B5">
        <v>48.262548262548201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ATR 72-600</vt:lpstr>
      <vt:lpstr>A220-300</vt:lpstr>
      <vt:lpstr>A320 neo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N.M. Barner</dc:creator>
  <cp:lastModifiedBy>Nils Barner</cp:lastModifiedBy>
  <dcterms:created xsi:type="dcterms:W3CDTF">2025-10-16T07:46:34Z</dcterms:created>
  <dcterms:modified xsi:type="dcterms:W3CDTF">2025-10-20T14:42:05Z</dcterms:modified>
</cp:coreProperties>
</file>